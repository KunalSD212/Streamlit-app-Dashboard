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KUNAL 2.0\11 TechKun\Dashboard Data\Already Uploaded\"/>
    </mc:Choice>
  </mc:AlternateContent>
  <xr:revisionPtr revIDLastSave="0" documentId="13_ncr:1_{7AE0424D-F6AF-4D7E-8239-6DB88FD59E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rnal P&amp;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1" l="1"/>
  <c r="E54" i="1"/>
  <c r="F54" i="1"/>
  <c r="G54" i="1"/>
  <c r="H54" i="1"/>
  <c r="I54" i="1"/>
  <c r="J54" i="1"/>
  <c r="K54" i="1"/>
  <c r="L54" i="1"/>
  <c r="C54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D47" i="1"/>
  <c r="E47" i="1"/>
  <c r="F47" i="1"/>
  <c r="G47" i="1"/>
  <c r="H47" i="1"/>
  <c r="I47" i="1"/>
  <c r="J47" i="1"/>
  <c r="K47" i="1"/>
  <c r="L47" i="1"/>
  <c r="M47" i="1"/>
  <c r="N47" i="1"/>
  <c r="C47" i="1"/>
  <c r="O20" i="1"/>
  <c r="O19" i="1"/>
  <c r="N16" i="1"/>
  <c r="N48" i="1" s="1"/>
  <c r="M16" i="1"/>
  <c r="M48" i="1" s="1"/>
  <c r="L16" i="1"/>
  <c r="K16" i="1"/>
  <c r="J16" i="1"/>
  <c r="I16" i="1"/>
  <c r="H16" i="1"/>
  <c r="G16" i="1"/>
  <c r="F16" i="1"/>
  <c r="E16" i="1"/>
  <c r="D16" i="1"/>
  <c r="C16" i="1"/>
  <c r="O15" i="1"/>
  <c r="O14" i="1"/>
  <c r="O13" i="1"/>
  <c r="O12" i="1"/>
  <c r="O11" i="1"/>
  <c r="O9" i="1"/>
  <c r="O8" i="1"/>
  <c r="O7" i="1"/>
  <c r="O6" i="1"/>
  <c r="O5" i="1"/>
  <c r="O4" i="1"/>
  <c r="O3" i="1"/>
  <c r="O2" i="1"/>
  <c r="D10" i="1"/>
  <c r="D17" i="1" s="1"/>
  <c r="D18" i="1" s="1"/>
  <c r="E10" i="1"/>
  <c r="E17" i="1" s="1"/>
  <c r="E18" i="1" s="1"/>
  <c r="F10" i="1"/>
  <c r="F17" i="1" s="1"/>
  <c r="F18" i="1" s="1"/>
  <c r="G10" i="1"/>
  <c r="G17" i="1" s="1"/>
  <c r="G18" i="1" s="1"/>
  <c r="H10" i="1"/>
  <c r="H17" i="1" s="1"/>
  <c r="H18" i="1" s="1"/>
  <c r="I10" i="1"/>
  <c r="I17" i="1" s="1"/>
  <c r="I18" i="1" s="1"/>
  <c r="J10" i="1"/>
  <c r="J17" i="1" s="1"/>
  <c r="J18" i="1" s="1"/>
  <c r="K10" i="1"/>
  <c r="L10" i="1"/>
  <c r="M10" i="1"/>
  <c r="N10" i="1"/>
  <c r="C10" i="1"/>
  <c r="K17" i="1" l="1"/>
  <c r="K18" i="1" s="1"/>
  <c r="L17" i="1"/>
  <c r="L18" i="1" s="1"/>
  <c r="C17" i="1"/>
  <c r="C18" i="1" s="1"/>
  <c r="D48" i="1"/>
  <c r="D49" i="1" s="1"/>
  <c r="D50" i="1" s="1"/>
  <c r="E48" i="1"/>
  <c r="F48" i="1"/>
  <c r="G48" i="1"/>
  <c r="H48" i="1"/>
  <c r="I48" i="1"/>
  <c r="J48" i="1"/>
  <c r="K48" i="1"/>
  <c r="L48" i="1"/>
  <c r="C48" i="1"/>
  <c r="M17" i="1"/>
  <c r="M18" i="1" s="1"/>
  <c r="M49" i="1"/>
  <c r="M50" i="1" s="1"/>
  <c r="N17" i="1"/>
  <c r="N18" i="1" s="1"/>
  <c r="N49" i="1"/>
  <c r="N50" i="1" s="1"/>
  <c r="E49" i="1"/>
  <c r="E50" i="1" s="1"/>
  <c r="F49" i="1"/>
  <c r="F50" i="1" s="1"/>
  <c r="G49" i="1"/>
  <c r="G50" i="1" s="1"/>
  <c r="H49" i="1"/>
  <c r="H50" i="1" s="1"/>
  <c r="I49" i="1"/>
  <c r="I50" i="1" s="1"/>
  <c r="J49" i="1"/>
  <c r="J50" i="1" s="1"/>
  <c r="K49" i="1"/>
  <c r="K50" i="1" s="1"/>
  <c r="L49" i="1"/>
  <c r="L50" i="1" s="1"/>
  <c r="C49" i="1"/>
  <c r="C50" i="1" s="1"/>
  <c r="O47" i="1"/>
  <c r="O10" i="1"/>
  <c r="O16" i="1"/>
  <c r="O48" i="1" l="1"/>
  <c r="O49" i="1" s="1"/>
  <c r="O50" i="1" s="1"/>
  <c r="O17" i="1"/>
  <c r="O18" i="1" s="1"/>
</calcChain>
</file>

<file path=xl/sharedStrings.xml><?xml version="1.0" encoding="utf-8"?>
<sst xmlns="http://schemas.openxmlformats.org/spreadsheetml/2006/main" count="66" uniqueCount="65">
  <si>
    <t>Particulars</t>
  </si>
  <si>
    <t>Total</t>
  </si>
  <si>
    <t>LMD - B2C</t>
  </si>
  <si>
    <t>LMD - B2B 1.0</t>
  </si>
  <si>
    <t>Software (SaaS)</t>
  </si>
  <si>
    <t>Warehousing</t>
  </si>
  <si>
    <t>SMS</t>
  </si>
  <si>
    <t>B2B 2.0</t>
  </si>
  <si>
    <t>(less) Debit - Freight Charges</t>
  </si>
  <si>
    <t>(less) Debit - Lost and Damages</t>
  </si>
  <si>
    <t>Total Revenue</t>
  </si>
  <si>
    <t>Courier Charges</t>
  </si>
  <si>
    <t>Warehousing Charges</t>
  </si>
  <si>
    <t>Research and Development Charges</t>
  </si>
  <si>
    <t>(less) Goods Lost Charges</t>
  </si>
  <si>
    <t>(less) Courier Charges Reduction</t>
  </si>
  <si>
    <t>Gross Profit</t>
  </si>
  <si>
    <t>Gross Profit Margin (%)</t>
  </si>
  <si>
    <t>Salaries</t>
  </si>
  <si>
    <t>PF Employer Contribution</t>
  </si>
  <si>
    <t>PF Admin Expenses</t>
  </si>
  <si>
    <t>ESIC Employer Contribution</t>
  </si>
  <si>
    <t>Incentives &amp; Bonuses</t>
  </si>
  <si>
    <t>Staff Welfare</t>
  </si>
  <si>
    <t>Reimbursements</t>
  </si>
  <si>
    <t>Rent</t>
  </si>
  <si>
    <t>Business Promotion</t>
  </si>
  <si>
    <t>Referral Charges</t>
  </si>
  <si>
    <t>Consultants</t>
  </si>
  <si>
    <t>SD-Consultant</t>
  </si>
  <si>
    <t>HR Consultants</t>
  </si>
  <si>
    <t>IT Consultants</t>
  </si>
  <si>
    <t>Server Charges</t>
  </si>
  <si>
    <t>Computers &amp; Peripherals</t>
  </si>
  <si>
    <t>Domain Recharge</t>
  </si>
  <si>
    <t>Thirdy Party Softwares / Services</t>
  </si>
  <si>
    <t>Professional Fees</t>
  </si>
  <si>
    <t>Electricity Expenses</t>
  </si>
  <si>
    <t>Internet Expenses</t>
  </si>
  <si>
    <t>Telephone Expenses</t>
  </si>
  <si>
    <t>Office Expenses</t>
  </si>
  <si>
    <t>Printing &amp; Stationery</t>
  </si>
  <si>
    <t>Repairs and Maintenance</t>
  </si>
  <si>
    <t>Hotel Expenses</t>
  </si>
  <si>
    <t>Travelling Expenses</t>
  </si>
  <si>
    <t>Bank Charges</t>
  </si>
  <si>
    <t>EBITDA</t>
  </si>
  <si>
    <t>EBITDA Margin (%)</t>
  </si>
  <si>
    <t>Total Expenses</t>
  </si>
  <si>
    <t>Total Indirect Expenses</t>
  </si>
  <si>
    <t>Total Direct Expenses</t>
  </si>
  <si>
    <t>VectorStack</t>
  </si>
  <si>
    <t>Server Charges + Vector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</si>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</sst>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ptos Narrow"/>
      <family val="2"/>
    </font>
    <font>
      <sz val="10"/>
      <color theme="1"/>
      <name val="Aptos Narrow"/>
      <family val="2"/>
    </font>
    <font>
      <sz val="11"/>
      <color theme="1"/>
      <name val="Calibri"/>
      <family val="2"/>
      <scheme val="minor"/>
    </font>
    <font>
      <b/>
      <sz val="10"/>
      <color theme="1"/>
      <name val="Aptos Narrow"/>
      <family val="2"/>
    </font>
    <font>
      <sz val="11"/>
      <color theme="0"/>
      <name val="Aptos Narrow"/>
      <family val="2"/>
    </font>
    <font>
      <b/>
      <sz val="11"/>
      <color theme="0"/>
      <name val="Aptos Narrow"/>
      <family val="2"/>
    </font>
    <font>
      <i/>
      <sz val="10"/>
      <color theme="1"/>
      <name val="Aptos Narrow"/>
      <family val="2"/>
    </font>
    <font>
      <b/>
      <i/>
      <sz val="10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6">
    <xf numFmtId="0" fontId="0" fillId="0" borderId="0" xfId="0"/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1" applyNumberFormat="1" applyFont="1" applyAlignment="1">
      <alignment vertical="center"/>
    </xf>
    <xf numFmtId="0" fontId="4" fillId="0" borderId="1" xfId="0" applyFont="1" applyBorder="1" applyAlignment="1">
      <alignment vertical="center"/>
    </xf>
    <xf numFmtId="164" fontId="4" fillId="0" borderId="1" xfId="1" applyNumberFormat="1" applyFont="1" applyBorder="1" applyAlignment="1">
      <alignment vertical="center"/>
    </xf>
    <xf numFmtId="164" fontId="4" fillId="0" borderId="0" xfId="1" applyNumberFormat="1" applyFont="1" applyAlignment="1">
      <alignment vertical="center"/>
    </xf>
    <xf numFmtId="9" fontId="7" fillId="0" borderId="0" xfId="2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4" fillId="3" borderId="0" xfId="0" applyFont="1" applyFill="1" applyAlignment="1">
      <alignment vertical="center"/>
    </xf>
    <xf numFmtId="164" fontId="4" fillId="3" borderId="0" xfId="1" applyNumberFormat="1" applyFont="1" applyFill="1" applyAlignment="1">
      <alignment vertical="center"/>
    </xf>
    <xf numFmtId="9" fontId="8" fillId="3" borderId="0" xfId="2" applyFont="1" applyFill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7" fontId="6" fillId="2" borderId="0" xfId="0" applyNumberFormat="1" applyFont="1" applyFill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7"/>
  <sheetViews>
    <sheetView showGridLines="0" tabSelected="1" topLeftCell="B1" zoomScale="80" zoomScaleNormal="80" workbookViewId="0">
      <selection activeCell="B1" sqref="B1"/>
    </sheetView>
  </sheetViews>
  <sheetFormatPr defaultRowHeight="13.8" x14ac:dyDescent="0.3"/>
  <cols>
    <col min="1" max="1" width="0" style="3" hidden="1" customWidth="1"/>
    <col min="2" max="2" width="28.77734375" style="3" bestFit="1" customWidth="1"/>
    <col min="3" max="15" width="12.77734375" style="3" customWidth="1"/>
    <col min="16" max="16" width="8.88671875" style="3"/>
    <col min="17" max="17" width="12" style="3" bestFit="1" customWidth="1"/>
    <col min="18" max="16384" width="8.88671875" style="3"/>
  </cols>
  <sheetData>
    <row r="1" spans="1:15" ht="14.4" x14ac:dyDescent="0.3">
      <c r="A1" s="1"/>
      <c r="B1" s="2" t="s">
        <v>0</v>
      </c>
      <c r="C1" s="15" t="s">
        <v>53</v>
      </c>
      <c r="D1" s="15" t="s">
        <v>54</v>
      </c>
      <c r="E1" s="15" t="s">
        <v>55</v>
      </c>
      <c r="F1" s="15" t="s">
        <v>56</v>
      </c>
      <c r="G1" s="15" t="s">
        <v>57</v>
      </c>
      <c r="H1" s="15" t="s">
        <v>58</v>
      </c>
      <c r="I1" s="15" t="s">
        <v>59</v>
      </c>
      <c r="J1" s="15" t="s">
        <v>60</v>
      </c>
      <c r="K1" s="15" t="s">
        <v>61</v>
      </c>
      <c r="L1" s="15" t="s">
        <v>62</v>
      </c>
      <c r="M1" s="15" t="s">
        <v>63</v>
      </c>
      <c r="N1" s="15" t="s">
        <v>64</v>
      </c>
      <c r="O1" s="2" t="s">
        <v>1</v>
      </c>
    </row>
    <row r="2" spans="1:15" x14ac:dyDescent="0.3">
      <c r="B2" s="3" t="s">
        <v>2</v>
      </c>
      <c r="C2" s="4">
        <v>29960737.821397074</v>
      </c>
      <c r="D2" s="4">
        <v>32317661.056875229</v>
      </c>
      <c r="E2" s="4">
        <v>41001298.427563302</v>
      </c>
      <c r="F2" s="4">
        <v>44733777.128940389</v>
      </c>
      <c r="G2" s="4">
        <v>39208171.974725313</v>
      </c>
      <c r="H2" s="4">
        <v>40635727.321405314</v>
      </c>
      <c r="I2" s="4">
        <v>57267520.924760424</v>
      </c>
      <c r="J2" s="4">
        <v>54873860.697390407</v>
      </c>
      <c r="K2" s="4">
        <v>65237506.484235376</v>
      </c>
      <c r="L2" s="4">
        <v>57195908.876720302</v>
      </c>
      <c r="M2" s="4">
        <v>0</v>
      </c>
      <c r="N2" s="4">
        <v>0</v>
      </c>
      <c r="O2" s="7">
        <f>SUM(C2:N2)</f>
        <v>462432170.71401322</v>
      </c>
    </row>
    <row r="3" spans="1:15" x14ac:dyDescent="0.3">
      <c r="B3" s="3" t="s">
        <v>3</v>
      </c>
      <c r="C3" s="4">
        <v>151666.42488000001</v>
      </c>
      <c r="D3" s="4">
        <v>183009.72313999999</v>
      </c>
      <c r="E3" s="4">
        <v>97970.354319999999</v>
      </c>
      <c r="F3" s="4">
        <v>24014.418529999999</v>
      </c>
      <c r="G3" s="4">
        <v>40044.471469999997</v>
      </c>
      <c r="H3" s="4">
        <v>41540.191530000004</v>
      </c>
      <c r="I3" s="4">
        <v>105869.95967</v>
      </c>
      <c r="J3" s="4">
        <v>62225.879700000005</v>
      </c>
      <c r="K3" s="4">
        <v>66429.435310000001</v>
      </c>
      <c r="L3" s="4">
        <v>73868.022150000004</v>
      </c>
      <c r="M3" s="4">
        <v>0</v>
      </c>
      <c r="N3" s="4">
        <v>0</v>
      </c>
      <c r="O3" s="7">
        <f t="shared" ref="O3:O9" si="0">SUM(C3:N3)</f>
        <v>846638.88069999998</v>
      </c>
    </row>
    <row r="4" spans="1:15" x14ac:dyDescent="0.3">
      <c r="B4" s="3" t="s">
        <v>4</v>
      </c>
      <c r="C4" s="4">
        <v>799047.45762711868</v>
      </c>
      <c r="D4" s="4">
        <v>908797.45762711857</v>
      </c>
      <c r="E4" s="4">
        <v>1144036.4406779662</v>
      </c>
      <c r="F4" s="4">
        <v>1127941.5254237289</v>
      </c>
      <c r="G4" s="4">
        <v>952028.91525423725</v>
      </c>
      <c r="H4" s="4">
        <v>878867.79661016946</v>
      </c>
      <c r="I4" s="4">
        <v>904811.86440677952</v>
      </c>
      <c r="J4" s="4">
        <v>1004731.3559322032</v>
      </c>
      <c r="K4" s="4">
        <v>1068574.5762711866</v>
      </c>
      <c r="L4" s="4">
        <v>1033931.3559322035</v>
      </c>
      <c r="M4" s="4">
        <v>0</v>
      </c>
      <c r="N4" s="4">
        <v>0</v>
      </c>
      <c r="O4" s="7">
        <f t="shared" si="0"/>
        <v>9822768.7457627114</v>
      </c>
    </row>
    <row r="5" spans="1:15" x14ac:dyDescent="0.3">
      <c r="B5" s="3" t="s">
        <v>5</v>
      </c>
      <c r="C5" s="4">
        <v>215841.5254237288</v>
      </c>
      <c r="D5" s="4">
        <v>100000</v>
      </c>
      <c r="E5" s="4">
        <v>124280.50847457627</v>
      </c>
      <c r="F5" s="4">
        <v>126102.54237288136</v>
      </c>
      <c r="G5" s="4">
        <v>115000</v>
      </c>
      <c r="H5" s="4">
        <v>156450</v>
      </c>
      <c r="I5" s="4">
        <v>176061.86440677964</v>
      </c>
      <c r="J5" s="4">
        <v>151589.83050847458</v>
      </c>
      <c r="K5" s="4">
        <v>108727.96610169491</v>
      </c>
      <c r="L5" s="4">
        <v>65000</v>
      </c>
      <c r="M5" s="4">
        <v>0</v>
      </c>
      <c r="N5" s="4">
        <v>0</v>
      </c>
      <c r="O5" s="7">
        <f t="shared" si="0"/>
        <v>1339054.2372881356</v>
      </c>
    </row>
    <row r="6" spans="1:15" x14ac:dyDescent="0.3">
      <c r="B6" s="3" t="s">
        <v>6</v>
      </c>
      <c r="C6" s="4">
        <v>31675.423728813559</v>
      </c>
      <c r="D6" s="4">
        <v>36821.186440677971</v>
      </c>
      <c r="E6" s="4">
        <v>32930.508474576272</v>
      </c>
      <c r="F6" s="4">
        <v>34110.601694915247</v>
      </c>
      <c r="G6" s="4">
        <v>44391.52542372881</v>
      </c>
      <c r="H6" s="4">
        <v>73624.576271186437</v>
      </c>
      <c r="I6" s="4">
        <v>61067.796610169491</v>
      </c>
      <c r="J6" s="4">
        <v>145676.27118644069</v>
      </c>
      <c r="K6" s="4">
        <v>85251.694915254237</v>
      </c>
      <c r="L6" s="4">
        <v>40747.457627118645</v>
      </c>
      <c r="M6" s="4">
        <v>0</v>
      </c>
      <c r="N6" s="4">
        <v>0</v>
      </c>
      <c r="O6" s="7">
        <f t="shared" si="0"/>
        <v>586297.04237288143</v>
      </c>
    </row>
    <row r="7" spans="1:15" x14ac:dyDescent="0.3">
      <c r="B7" s="3" t="s">
        <v>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7">
        <f t="shared" si="0"/>
        <v>0</v>
      </c>
    </row>
    <row r="8" spans="1:15" x14ac:dyDescent="0.3">
      <c r="B8" s="3" t="s">
        <v>8</v>
      </c>
      <c r="C8" s="4">
        <v>425390.79060000001</v>
      </c>
      <c r="D8" s="4">
        <v>299756.60359999997</v>
      </c>
      <c r="E8" s="4">
        <v>381305.64840000006</v>
      </c>
      <c r="F8" s="4">
        <v>104848.4044</v>
      </c>
      <c r="G8" s="4">
        <v>370273.97000000003</v>
      </c>
      <c r="H8" s="4">
        <v>281768.19980000006</v>
      </c>
      <c r="I8" s="4">
        <v>784517.35959999997</v>
      </c>
      <c r="J8" s="4">
        <v>336103.88400000008</v>
      </c>
      <c r="K8" s="4">
        <v>532093.7892</v>
      </c>
      <c r="L8" s="4">
        <v>14169.274800000001</v>
      </c>
      <c r="M8" s="4"/>
      <c r="N8" s="4"/>
      <c r="O8" s="7">
        <f t="shared" si="0"/>
        <v>3530227.9243999999</v>
      </c>
    </row>
    <row r="9" spans="1:15" x14ac:dyDescent="0.3">
      <c r="B9" s="3" t="s">
        <v>9</v>
      </c>
      <c r="C9" s="4">
        <v>776049</v>
      </c>
      <c r="D9" s="4">
        <v>359851</v>
      </c>
      <c r="E9" s="4">
        <v>509657</v>
      </c>
      <c r="F9" s="4">
        <v>597133</v>
      </c>
      <c r="G9" s="4">
        <v>708002</v>
      </c>
      <c r="H9" s="4">
        <v>1037866.8</v>
      </c>
      <c r="I9" s="4">
        <v>2556194.7400000002</v>
      </c>
      <c r="J9" s="4">
        <v>2501517</v>
      </c>
      <c r="K9" s="4">
        <v>900919</v>
      </c>
      <c r="L9" s="4">
        <v>563554</v>
      </c>
      <c r="M9" s="4"/>
      <c r="N9" s="4"/>
      <c r="O9" s="7">
        <f t="shared" si="0"/>
        <v>10510743.539999999</v>
      </c>
    </row>
    <row r="10" spans="1:15" ht="14.4" thickBot="1" x14ac:dyDescent="0.35">
      <c r="B10" s="5" t="s">
        <v>10</v>
      </c>
      <c r="C10" s="6">
        <f>SUM(C2:C7)-C8-C9</f>
        <v>29957528.862456731</v>
      </c>
      <c r="D10" s="6">
        <f t="shared" ref="D10:O10" si="1">SUM(D2:D7)-D8-D9</f>
        <v>32886681.820483025</v>
      </c>
      <c r="E10" s="6">
        <f t="shared" si="1"/>
        <v>41509553.591110408</v>
      </c>
      <c r="F10" s="6">
        <f t="shared" si="1"/>
        <v>45343964.812561914</v>
      </c>
      <c r="G10" s="6">
        <f t="shared" si="1"/>
        <v>39281360.916873276</v>
      </c>
      <c r="H10" s="6">
        <f t="shared" si="1"/>
        <v>40466574.886016667</v>
      </c>
      <c r="I10" s="6">
        <f t="shared" si="1"/>
        <v>55174620.310254149</v>
      </c>
      <c r="J10" s="6">
        <f t="shared" si="1"/>
        <v>53400463.150717527</v>
      </c>
      <c r="K10" s="6">
        <f t="shared" si="1"/>
        <v>65133477.367633514</v>
      </c>
      <c r="L10" s="6">
        <f t="shared" si="1"/>
        <v>57831732.437629625</v>
      </c>
      <c r="M10" s="6">
        <f t="shared" si="1"/>
        <v>0</v>
      </c>
      <c r="N10" s="6">
        <f t="shared" si="1"/>
        <v>0</v>
      </c>
      <c r="O10" s="6">
        <f t="shared" si="1"/>
        <v>460985958.15573692</v>
      </c>
    </row>
    <row r="11" spans="1:15" x14ac:dyDescent="0.3">
      <c r="B11" s="3" t="s">
        <v>11</v>
      </c>
      <c r="C11" s="4">
        <v>21405999.300000001</v>
      </c>
      <c r="D11" s="4">
        <v>25045284.229999997</v>
      </c>
      <c r="E11" s="4">
        <v>31602109.455424085</v>
      </c>
      <c r="F11" s="4">
        <v>35017240.5</v>
      </c>
      <c r="G11" s="4">
        <v>28624010.629999999</v>
      </c>
      <c r="H11" s="4">
        <v>31278766.002900008</v>
      </c>
      <c r="I11" s="4">
        <v>42841171.149999999</v>
      </c>
      <c r="J11" s="4">
        <v>39083768.538851373</v>
      </c>
      <c r="K11" s="4">
        <v>48286337.634067789</v>
      </c>
      <c r="L11" s="4">
        <v>43879722.660000011</v>
      </c>
      <c r="M11" s="4">
        <v>0</v>
      </c>
      <c r="N11" s="4">
        <v>0</v>
      </c>
      <c r="O11" s="7">
        <f>SUM(C11:N11)</f>
        <v>347064410.10124332</v>
      </c>
    </row>
    <row r="12" spans="1:15" x14ac:dyDescent="0.3">
      <c r="B12" s="3" t="s">
        <v>12</v>
      </c>
      <c r="C12" s="4">
        <v>287366</v>
      </c>
      <c r="D12" s="4">
        <v>115746</v>
      </c>
      <c r="E12" s="4">
        <v>81650</v>
      </c>
      <c r="F12" s="4">
        <v>134662</v>
      </c>
      <c r="G12" s="4">
        <v>134670</v>
      </c>
      <c r="H12" s="4">
        <v>136135</v>
      </c>
      <c r="I12" s="4">
        <v>148951</v>
      </c>
      <c r="J12" s="4">
        <v>45900</v>
      </c>
      <c r="K12" s="4">
        <v>45900</v>
      </c>
      <c r="L12" s="4">
        <v>45900</v>
      </c>
      <c r="M12" s="4">
        <v>0</v>
      </c>
      <c r="N12" s="4">
        <v>0</v>
      </c>
      <c r="O12" s="7">
        <f t="shared" ref="O12:O15" si="2">SUM(C12:N12)</f>
        <v>1176880</v>
      </c>
    </row>
    <row r="13" spans="1:15" x14ac:dyDescent="0.3">
      <c r="B13" s="3" t="s">
        <v>13</v>
      </c>
      <c r="C13" s="4">
        <v>102600</v>
      </c>
      <c r="D13" s="4">
        <v>205700</v>
      </c>
      <c r="E13" s="4">
        <v>161600</v>
      </c>
      <c r="F13" s="4">
        <v>0</v>
      </c>
      <c r="G13" s="4">
        <v>135500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7">
        <f t="shared" si="2"/>
        <v>605400</v>
      </c>
    </row>
    <row r="14" spans="1:15" x14ac:dyDescent="0.3">
      <c r="B14" s="3" t="s">
        <v>14</v>
      </c>
      <c r="C14" s="4">
        <v>424937.54000000004</v>
      </c>
      <c r="D14" s="4">
        <v>845925.46</v>
      </c>
      <c r="E14" s="4">
        <v>940518.99000000022</v>
      </c>
      <c r="F14" s="4">
        <v>1040776.8499999999</v>
      </c>
      <c r="G14" s="4">
        <v>1546839.7836000002</v>
      </c>
      <c r="H14" s="4">
        <v>1045519.26</v>
      </c>
      <c r="I14" s="4">
        <v>603190.79</v>
      </c>
      <c r="J14" s="4">
        <v>202468</v>
      </c>
      <c r="K14" s="4">
        <v>79338</v>
      </c>
      <c r="L14" s="4">
        <v>0</v>
      </c>
      <c r="M14" s="4"/>
      <c r="N14" s="4"/>
      <c r="O14" s="7">
        <f t="shared" si="2"/>
        <v>6729514.6736000003</v>
      </c>
    </row>
    <row r="15" spans="1:15" x14ac:dyDescent="0.3">
      <c r="B15" s="3" t="s">
        <v>15</v>
      </c>
      <c r="C15" s="4">
        <v>1318767.22</v>
      </c>
      <c r="D15" s="4">
        <v>2149071.7400000002</v>
      </c>
      <c r="E15" s="4">
        <v>4772537</v>
      </c>
      <c r="F15" s="4">
        <v>3645495</v>
      </c>
      <c r="G15" s="4">
        <v>2680441.5443779984</v>
      </c>
      <c r="H15" s="4">
        <v>1482361.21</v>
      </c>
      <c r="I15" s="4">
        <v>1161575</v>
      </c>
      <c r="J15" s="4">
        <v>1060803.94</v>
      </c>
      <c r="K15" s="4">
        <v>1736807.9</v>
      </c>
      <c r="L15" s="4">
        <v>0</v>
      </c>
      <c r="M15" s="4"/>
      <c r="N15" s="4"/>
      <c r="O15" s="7">
        <f t="shared" si="2"/>
        <v>20007860.554377999</v>
      </c>
    </row>
    <row r="16" spans="1:15" ht="14.4" thickBot="1" x14ac:dyDescent="0.35">
      <c r="B16" s="5" t="s">
        <v>50</v>
      </c>
      <c r="C16" s="6">
        <f t="shared" ref="C16:O16" si="3">SUM(C11:C13)-C14-C15</f>
        <v>20052260.540000003</v>
      </c>
      <c r="D16" s="6">
        <f t="shared" si="3"/>
        <v>22371733.029999994</v>
      </c>
      <c r="E16" s="6">
        <f t="shared" si="3"/>
        <v>26132303.465424083</v>
      </c>
      <c r="F16" s="6">
        <f t="shared" si="3"/>
        <v>30465630.649999999</v>
      </c>
      <c r="G16" s="6">
        <f t="shared" si="3"/>
        <v>24666899.302022003</v>
      </c>
      <c r="H16" s="6">
        <f t="shared" si="3"/>
        <v>28887020.532900006</v>
      </c>
      <c r="I16" s="6">
        <f t="shared" si="3"/>
        <v>41225356.359999999</v>
      </c>
      <c r="J16" s="6">
        <f t="shared" si="3"/>
        <v>37866396.598851375</v>
      </c>
      <c r="K16" s="6">
        <f t="shared" si="3"/>
        <v>46516091.73406779</v>
      </c>
      <c r="L16" s="6">
        <f t="shared" si="3"/>
        <v>43925622.660000011</v>
      </c>
      <c r="M16" s="6">
        <f t="shared" si="3"/>
        <v>0</v>
      </c>
      <c r="N16" s="6">
        <f t="shared" si="3"/>
        <v>0</v>
      </c>
      <c r="O16" s="6">
        <f t="shared" si="3"/>
        <v>322109314.87326533</v>
      </c>
    </row>
    <row r="17" spans="2:18" x14ac:dyDescent="0.3">
      <c r="B17" s="10" t="s">
        <v>16</v>
      </c>
      <c r="C17" s="11">
        <f>C10-C16</f>
        <v>9905268.3224567287</v>
      </c>
      <c r="D17" s="11">
        <f>D10-D16</f>
        <v>10514948.790483031</v>
      </c>
      <c r="E17" s="11">
        <f>E10-E16</f>
        <v>15377250.125686325</v>
      </c>
      <c r="F17" s="11">
        <f>F10-F16</f>
        <v>14878334.162561916</v>
      </c>
      <c r="G17" s="11">
        <f>G10-G16</f>
        <v>14614461.614851274</v>
      </c>
      <c r="H17" s="11">
        <f>H10-H16</f>
        <v>11579554.353116661</v>
      </c>
      <c r="I17" s="11">
        <f>I10-I16</f>
        <v>13949263.95025415</v>
      </c>
      <c r="J17" s="11">
        <f>J10-J16</f>
        <v>15534066.551866151</v>
      </c>
      <c r="K17" s="11">
        <f>K10-K16</f>
        <v>18617385.633565724</v>
      </c>
      <c r="L17" s="11">
        <f>L10-L16</f>
        <v>13906109.777629614</v>
      </c>
      <c r="M17" s="11">
        <f>M10-M16</f>
        <v>0</v>
      </c>
      <c r="N17" s="11">
        <f>N10-N16</f>
        <v>0</v>
      </c>
      <c r="O17" s="11">
        <f>O10-O16</f>
        <v>138876643.2824716</v>
      </c>
      <c r="Q17" s="9"/>
      <c r="R17" s="8"/>
    </row>
    <row r="18" spans="2:18" x14ac:dyDescent="0.3">
      <c r="B18" s="10" t="s">
        <v>17</v>
      </c>
      <c r="C18" s="12">
        <f>C17/C2</f>
        <v>0.33060829080726706</v>
      </c>
      <c r="D18" s="12">
        <f>D17/D2</f>
        <v>0.32536230799555621</v>
      </c>
      <c r="E18" s="12">
        <f>E17/E2</f>
        <v>0.37504300389055245</v>
      </c>
      <c r="F18" s="12">
        <f>F17/F2</f>
        <v>0.33259731499257683</v>
      </c>
      <c r="G18" s="12">
        <f>G17/G2</f>
        <v>0.37274019365840788</v>
      </c>
      <c r="H18" s="12">
        <f>H17/H2</f>
        <v>0.28495993836972627</v>
      </c>
      <c r="I18" s="12">
        <f>I17/I2</f>
        <v>0.24358071948986687</v>
      </c>
      <c r="J18" s="12">
        <f>J17/J2</f>
        <v>0.28308681682761377</v>
      </c>
      <c r="K18" s="12">
        <f>K17/K2</f>
        <v>0.28537855961837855</v>
      </c>
      <c r="L18" s="12">
        <f>L17/L2</f>
        <v>0.24313119680644912</v>
      </c>
      <c r="M18" s="12" t="e">
        <f>M17/M2</f>
        <v>#DIV/0!</v>
      </c>
      <c r="N18" s="12" t="e">
        <f>N17/N2</f>
        <v>#DIV/0!</v>
      </c>
      <c r="O18" s="12">
        <f>O17/O2</f>
        <v>0.30031786730590276</v>
      </c>
    </row>
    <row r="19" spans="2:18" x14ac:dyDescent="0.3">
      <c r="B19" s="3" t="s">
        <v>18</v>
      </c>
      <c r="C19" s="4">
        <v>3938836.8033179725</v>
      </c>
      <c r="D19" s="4">
        <v>4016505.6184126986</v>
      </c>
      <c r="E19" s="4">
        <v>4455243.9849999994</v>
      </c>
      <c r="F19" s="4">
        <v>4722856.9450000003</v>
      </c>
      <c r="G19" s="4">
        <v>4340238.5290322583</v>
      </c>
      <c r="H19" s="4">
        <v>4356308.2267741933</v>
      </c>
      <c r="I19" s="4">
        <v>4277830.7433333332</v>
      </c>
      <c r="J19" s="4">
        <v>4115562</v>
      </c>
      <c r="K19" s="4">
        <v>3895202</v>
      </c>
      <c r="L19" s="4">
        <v>4044789</v>
      </c>
      <c r="M19" s="4"/>
      <c r="N19" s="4"/>
      <c r="O19" s="7">
        <f>SUM(C19:N19)</f>
        <v>42163373.850870453</v>
      </c>
    </row>
    <row r="20" spans="2:18" x14ac:dyDescent="0.3">
      <c r="B20" s="3" t="s">
        <v>19</v>
      </c>
      <c r="C20" s="4">
        <v>104310</v>
      </c>
      <c r="D20" s="4">
        <v>97200</v>
      </c>
      <c r="E20" s="4">
        <v>95928</v>
      </c>
      <c r="F20" s="4">
        <v>99925</v>
      </c>
      <c r="G20" s="4">
        <v>105000</v>
      </c>
      <c r="H20" s="4">
        <v>111531</v>
      </c>
      <c r="I20" s="4">
        <v>106875</v>
      </c>
      <c r="J20" s="4">
        <v>106875</v>
      </c>
      <c r="K20" s="4">
        <v>105556</v>
      </c>
      <c r="L20" s="4">
        <v>107328</v>
      </c>
      <c r="M20" s="4"/>
      <c r="N20" s="4"/>
      <c r="O20" s="7">
        <f t="shared" ref="O20:O21" si="4">SUM(C20:N20)</f>
        <v>1040528</v>
      </c>
    </row>
    <row r="21" spans="2:18" x14ac:dyDescent="0.3">
      <c r="B21" s="3" t="s">
        <v>20</v>
      </c>
      <c r="C21" s="4">
        <v>4339</v>
      </c>
      <c r="D21" s="4">
        <v>4050</v>
      </c>
      <c r="E21" s="4">
        <v>3997</v>
      </c>
      <c r="F21" s="4">
        <v>3997</v>
      </c>
      <c r="G21" s="4">
        <v>4200</v>
      </c>
      <c r="H21" s="4">
        <v>4461</v>
      </c>
      <c r="I21" s="4">
        <v>4275</v>
      </c>
      <c r="J21" s="4">
        <v>4275</v>
      </c>
      <c r="K21" s="4">
        <v>4222</v>
      </c>
      <c r="L21" s="4">
        <v>4293</v>
      </c>
      <c r="M21" s="4"/>
      <c r="N21" s="4"/>
      <c r="O21" s="7">
        <f t="shared" si="4"/>
        <v>42109</v>
      </c>
    </row>
    <row r="22" spans="2:18" x14ac:dyDescent="0.3">
      <c r="B22" s="3" t="s">
        <v>21</v>
      </c>
      <c r="C22" s="4">
        <v>681</v>
      </c>
      <c r="D22" s="4">
        <v>0</v>
      </c>
      <c r="E22" s="4">
        <v>736</v>
      </c>
      <c r="F22" s="4">
        <v>736</v>
      </c>
      <c r="G22" s="4">
        <v>800</v>
      </c>
      <c r="H22" s="4">
        <v>800</v>
      </c>
      <c r="I22" s="4">
        <v>800</v>
      </c>
      <c r="J22" s="4">
        <v>800</v>
      </c>
      <c r="K22" s="4">
        <v>800</v>
      </c>
      <c r="L22" s="4">
        <v>800</v>
      </c>
      <c r="M22" s="4"/>
      <c r="N22" s="4"/>
      <c r="O22" s="7">
        <f t="shared" ref="O22:O46" si="5">SUM(C22:N22)</f>
        <v>6953</v>
      </c>
    </row>
    <row r="23" spans="2:18" x14ac:dyDescent="0.3">
      <c r="B23" s="3" t="s">
        <v>22</v>
      </c>
      <c r="C23" s="4">
        <v>52500</v>
      </c>
      <c r="D23" s="4">
        <v>0</v>
      </c>
      <c r="E23" s="4">
        <v>0</v>
      </c>
      <c r="F23" s="4">
        <v>100000</v>
      </c>
      <c r="G23" s="4">
        <v>95598</v>
      </c>
      <c r="H23" s="4">
        <v>199011.8</v>
      </c>
      <c r="I23" s="4">
        <v>266300.73</v>
      </c>
      <c r="J23" s="4">
        <v>120000</v>
      </c>
      <c r="K23" s="4">
        <v>414678</v>
      </c>
      <c r="L23" s="4">
        <v>0</v>
      </c>
      <c r="M23" s="4"/>
      <c r="N23" s="4"/>
      <c r="O23" s="7">
        <f t="shared" si="5"/>
        <v>1248088.53</v>
      </c>
    </row>
    <row r="24" spans="2:18" x14ac:dyDescent="0.3">
      <c r="B24" s="3" t="s">
        <v>23</v>
      </c>
      <c r="C24" s="4">
        <v>353720</v>
      </c>
      <c r="D24" s="4">
        <v>31923.25</v>
      </c>
      <c r="E24" s="4">
        <v>34997.279999999999</v>
      </c>
      <c r="F24" s="4">
        <v>214772.15</v>
      </c>
      <c r="G24" s="4">
        <v>74510.58</v>
      </c>
      <c r="H24" s="4">
        <v>73190.31</v>
      </c>
      <c r="I24" s="4">
        <v>470707.34</v>
      </c>
      <c r="J24" s="4">
        <v>47100.3</v>
      </c>
      <c r="K24" s="4">
        <v>81530.240000000005</v>
      </c>
      <c r="L24" s="4">
        <v>23815.72</v>
      </c>
      <c r="M24" s="4"/>
      <c r="N24" s="4"/>
      <c r="O24" s="7">
        <f t="shared" si="5"/>
        <v>1406267.1700000002</v>
      </c>
    </row>
    <row r="25" spans="2:18" x14ac:dyDescent="0.3">
      <c r="B25" s="3" t="s">
        <v>24</v>
      </c>
      <c r="C25" s="4">
        <v>48472</v>
      </c>
      <c r="D25" s="4">
        <v>54412</v>
      </c>
      <c r="E25" s="4">
        <v>86616</v>
      </c>
      <c r="F25" s="4">
        <v>173718</v>
      </c>
      <c r="G25" s="4">
        <v>84441</v>
      </c>
      <c r="H25" s="4">
        <v>78790</v>
      </c>
      <c r="I25" s="4">
        <v>128040</v>
      </c>
      <c r="J25" s="4">
        <v>222639</v>
      </c>
      <c r="K25" s="4">
        <v>69356.800000000003</v>
      </c>
      <c r="L25" s="4">
        <v>25154</v>
      </c>
      <c r="M25" s="4"/>
      <c r="N25" s="4"/>
      <c r="O25" s="7">
        <f t="shared" si="5"/>
        <v>971638.8</v>
      </c>
    </row>
    <row r="26" spans="2:18" x14ac:dyDescent="0.3">
      <c r="B26" s="3" t="s">
        <v>25</v>
      </c>
      <c r="C26" s="4">
        <v>216000</v>
      </c>
      <c r="D26" s="4">
        <v>216000</v>
      </c>
      <c r="E26" s="4">
        <v>216000</v>
      </c>
      <c r="F26" s="4">
        <v>216000</v>
      </c>
      <c r="G26" s="4">
        <v>216000</v>
      </c>
      <c r="H26" s="4">
        <v>216000</v>
      </c>
      <c r="I26" s="4">
        <v>216000</v>
      </c>
      <c r="J26" s="4">
        <v>416000</v>
      </c>
      <c r="K26" s="4">
        <v>416000</v>
      </c>
      <c r="L26" s="4">
        <v>416000</v>
      </c>
      <c r="M26" s="4"/>
      <c r="N26" s="4"/>
      <c r="O26" s="7">
        <f t="shared" si="5"/>
        <v>2760000</v>
      </c>
    </row>
    <row r="27" spans="2:18" x14ac:dyDescent="0.3">
      <c r="B27" s="3" t="s">
        <v>26</v>
      </c>
      <c r="C27" s="4">
        <v>281768.33999999997</v>
      </c>
      <c r="D27" s="4">
        <v>270907.74</v>
      </c>
      <c r="E27" s="4">
        <v>113275.12999999999</v>
      </c>
      <c r="F27" s="4">
        <v>241148.21</v>
      </c>
      <c r="G27" s="4">
        <v>173867.09999999998</v>
      </c>
      <c r="H27" s="4">
        <v>184510.74</v>
      </c>
      <c r="I27" s="4">
        <v>137488.45000000001</v>
      </c>
      <c r="J27" s="4">
        <v>160647.72</v>
      </c>
      <c r="K27" s="4">
        <v>193570.39</v>
      </c>
      <c r="L27" s="4">
        <v>125218</v>
      </c>
      <c r="M27" s="4"/>
      <c r="N27" s="4"/>
      <c r="O27" s="7">
        <f t="shared" si="5"/>
        <v>1882401.8199999998</v>
      </c>
    </row>
    <row r="28" spans="2:18" x14ac:dyDescent="0.3">
      <c r="B28" s="3" t="s">
        <v>27</v>
      </c>
      <c r="C28" s="4">
        <v>851002.80900000001</v>
      </c>
      <c r="D28" s="4">
        <v>1000730.7680150018</v>
      </c>
      <c r="E28" s="4">
        <v>1836520.5101949957</v>
      </c>
      <c r="F28" s="4">
        <v>1788438.5759399938</v>
      </c>
      <c r="G28" s="4">
        <v>1595909.9162099981</v>
      </c>
      <c r="H28" s="4">
        <v>1704241.1582599911</v>
      </c>
      <c r="I28" s="4">
        <v>2141480</v>
      </c>
      <c r="J28" s="4">
        <v>1969180.1253000095</v>
      </c>
      <c r="K28" s="4">
        <v>2553107.4199800296</v>
      </c>
      <c r="L28" s="4">
        <v>1149084.6944897959</v>
      </c>
      <c r="M28" s="4"/>
      <c r="N28" s="4"/>
      <c r="O28" s="7">
        <f t="shared" si="5"/>
        <v>16589695.977389816</v>
      </c>
    </row>
    <row r="29" spans="2:18" x14ac:dyDescent="0.3">
      <c r="B29" s="3" t="s">
        <v>28</v>
      </c>
      <c r="C29" s="4">
        <v>544077.34</v>
      </c>
      <c r="D29" s="4">
        <v>494461.8</v>
      </c>
      <c r="E29" s="4">
        <v>476125</v>
      </c>
      <c r="F29" s="4">
        <v>640099.5</v>
      </c>
      <c r="G29" s="4">
        <v>650664.6</v>
      </c>
      <c r="H29" s="4">
        <v>664209.5</v>
      </c>
      <c r="I29" s="4">
        <v>687428.01</v>
      </c>
      <c r="J29" s="4">
        <v>706415</v>
      </c>
      <c r="K29" s="4">
        <v>805672.8</v>
      </c>
      <c r="L29" s="4">
        <v>748894.85</v>
      </c>
      <c r="M29" s="4"/>
      <c r="N29" s="4"/>
      <c r="O29" s="7">
        <f t="shared" si="5"/>
        <v>6418048.3999999994</v>
      </c>
    </row>
    <row r="30" spans="2:18" x14ac:dyDescent="0.3">
      <c r="B30" s="3" t="s">
        <v>29</v>
      </c>
      <c r="C30" s="4">
        <v>85000</v>
      </c>
      <c r="D30" s="4">
        <v>85000</v>
      </c>
      <c r="E30" s="4">
        <v>85000</v>
      </c>
      <c r="F30" s="4">
        <v>85000</v>
      </c>
      <c r="G30" s="4">
        <v>85000</v>
      </c>
      <c r="H30" s="4">
        <v>85000</v>
      </c>
      <c r="I30" s="4">
        <v>268333</v>
      </c>
      <c r="J30" s="4">
        <v>284833</v>
      </c>
      <c r="K30" s="4">
        <v>273833</v>
      </c>
      <c r="L30" s="4">
        <v>273833</v>
      </c>
      <c r="M30" s="4"/>
      <c r="N30" s="4"/>
      <c r="O30" s="7">
        <f t="shared" si="5"/>
        <v>1610832</v>
      </c>
    </row>
    <row r="31" spans="2:18" x14ac:dyDescent="0.3">
      <c r="B31" s="3" t="s">
        <v>30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99960</v>
      </c>
      <c r="J31" s="4">
        <v>157560</v>
      </c>
      <c r="K31" s="4">
        <v>0</v>
      </c>
      <c r="L31" s="4">
        <v>0</v>
      </c>
      <c r="M31" s="4"/>
      <c r="N31" s="4"/>
      <c r="O31" s="7">
        <f t="shared" si="5"/>
        <v>257520</v>
      </c>
    </row>
    <row r="32" spans="2:18" x14ac:dyDescent="0.3">
      <c r="B32" s="3" t="s">
        <v>31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/>
      <c r="N32" s="4"/>
      <c r="O32" s="7">
        <f t="shared" si="5"/>
        <v>0</v>
      </c>
    </row>
    <row r="33" spans="2:15" x14ac:dyDescent="0.3">
      <c r="B33" s="3" t="s">
        <v>32</v>
      </c>
      <c r="C33" s="4">
        <v>356964</v>
      </c>
      <c r="D33" s="4">
        <v>317731</v>
      </c>
      <c r="E33" s="4">
        <v>311821.34999999998</v>
      </c>
      <c r="F33" s="4">
        <v>361496.58000000007</v>
      </c>
      <c r="G33" s="4">
        <v>394196.95</v>
      </c>
      <c r="H33" s="4">
        <v>480061.98</v>
      </c>
      <c r="I33" s="4">
        <v>578013.12999999989</v>
      </c>
      <c r="J33" s="4">
        <v>544311.38</v>
      </c>
      <c r="K33" s="4">
        <v>481255.9</v>
      </c>
      <c r="L33" s="4">
        <v>483851.16999999993</v>
      </c>
      <c r="M33" s="4"/>
      <c r="N33" s="4"/>
      <c r="O33" s="7">
        <f t="shared" si="5"/>
        <v>4309703.4399999995</v>
      </c>
    </row>
    <row r="34" spans="2:15" x14ac:dyDescent="0.3">
      <c r="B34" s="3" t="s">
        <v>33</v>
      </c>
      <c r="C34" s="4">
        <v>82644.06</v>
      </c>
      <c r="D34" s="4">
        <v>49098</v>
      </c>
      <c r="E34" s="4">
        <v>0</v>
      </c>
      <c r="F34" s="4">
        <v>101270.33</v>
      </c>
      <c r="G34" s="4">
        <v>106610.16</v>
      </c>
      <c r="H34" s="4">
        <v>40188</v>
      </c>
      <c r="I34" s="4">
        <v>104088.41</v>
      </c>
      <c r="J34" s="4">
        <v>198433.39</v>
      </c>
      <c r="K34" s="4">
        <v>0</v>
      </c>
      <c r="L34" s="4">
        <v>0</v>
      </c>
      <c r="M34" s="4"/>
      <c r="N34" s="4"/>
      <c r="O34" s="7">
        <f t="shared" si="5"/>
        <v>682332.35000000009</v>
      </c>
    </row>
    <row r="35" spans="2:15" x14ac:dyDescent="0.3">
      <c r="B35" s="3" t="s">
        <v>34</v>
      </c>
      <c r="C35" s="4">
        <v>0</v>
      </c>
      <c r="D35" s="4">
        <v>0</v>
      </c>
      <c r="E35" s="4">
        <v>0</v>
      </c>
      <c r="F35" s="4">
        <v>1200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/>
      <c r="N35" s="4"/>
      <c r="O35" s="7">
        <f t="shared" si="5"/>
        <v>1200</v>
      </c>
    </row>
    <row r="36" spans="2:15" x14ac:dyDescent="0.3">
      <c r="B36" s="3" t="s">
        <v>35</v>
      </c>
      <c r="C36" s="4">
        <v>75272.19</v>
      </c>
      <c r="D36" s="4">
        <v>218688.69</v>
      </c>
      <c r="E36" s="4">
        <v>85216.61</v>
      </c>
      <c r="F36" s="4">
        <v>512471.63999999996</v>
      </c>
      <c r="G36" s="4">
        <v>82010.26999999999</v>
      </c>
      <c r="H36" s="4">
        <v>163595.56</v>
      </c>
      <c r="I36" s="4">
        <v>101890.12</v>
      </c>
      <c r="J36" s="4">
        <v>84896.12</v>
      </c>
      <c r="K36" s="4">
        <v>171494.13</v>
      </c>
      <c r="L36" s="4">
        <v>136420.87</v>
      </c>
      <c r="M36" s="4"/>
      <c r="N36" s="4"/>
      <c r="O36" s="7">
        <f t="shared" si="5"/>
        <v>1631956.2000000002</v>
      </c>
    </row>
    <row r="37" spans="2:15" x14ac:dyDescent="0.3">
      <c r="B37" s="3" t="s">
        <v>36</v>
      </c>
      <c r="C37" s="4">
        <v>0</v>
      </c>
      <c r="D37" s="4">
        <v>0</v>
      </c>
      <c r="E37" s="4">
        <v>210000</v>
      </c>
      <c r="F37" s="4">
        <v>0</v>
      </c>
      <c r="G37" s="4">
        <v>20000</v>
      </c>
      <c r="H37" s="4">
        <v>159330</v>
      </c>
      <c r="I37" s="4">
        <v>200000</v>
      </c>
      <c r="J37" s="4">
        <v>822500</v>
      </c>
      <c r="K37" s="4">
        <v>200000</v>
      </c>
      <c r="L37" s="4">
        <v>200000</v>
      </c>
      <c r="M37" s="4"/>
      <c r="N37" s="4"/>
      <c r="O37" s="7">
        <f t="shared" si="5"/>
        <v>1811830</v>
      </c>
    </row>
    <row r="38" spans="2:15" x14ac:dyDescent="0.3">
      <c r="B38" s="3" t="s">
        <v>37</v>
      </c>
      <c r="C38" s="4">
        <v>20860</v>
      </c>
      <c r="D38" s="4">
        <v>20560</v>
      </c>
      <c r="E38" s="4">
        <v>18427</v>
      </c>
      <c r="F38" s="4">
        <v>20461</v>
      </c>
      <c r="G38" s="4">
        <v>18170</v>
      </c>
      <c r="H38" s="4">
        <v>20655</v>
      </c>
      <c r="I38" s="4">
        <v>20750</v>
      </c>
      <c r="J38" s="4">
        <v>23560</v>
      </c>
      <c r="K38" s="4">
        <v>29014.940000000002</v>
      </c>
      <c r="L38" s="4">
        <v>25970</v>
      </c>
      <c r="M38" s="4"/>
      <c r="N38" s="4"/>
      <c r="O38" s="7">
        <f t="shared" si="5"/>
        <v>218427.94</v>
      </c>
    </row>
    <row r="39" spans="2:15" x14ac:dyDescent="0.3">
      <c r="B39" s="3" t="s">
        <v>38</v>
      </c>
      <c r="C39" s="4">
        <v>2297</v>
      </c>
      <c r="D39" s="4">
        <v>2397</v>
      </c>
      <c r="E39" s="4">
        <v>2091</v>
      </c>
      <c r="F39" s="4">
        <v>12006</v>
      </c>
      <c r="G39" s="4">
        <v>9763</v>
      </c>
      <c r="H39" s="4">
        <v>12164</v>
      </c>
      <c r="I39" s="4">
        <v>89626</v>
      </c>
      <c r="J39" s="4">
        <v>73746</v>
      </c>
      <c r="K39" s="4">
        <v>9625.73</v>
      </c>
      <c r="L39" s="4">
        <v>9596</v>
      </c>
      <c r="M39" s="4"/>
      <c r="N39" s="4"/>
      <c r="O39" s="7">
        <f t="shared" si="5"/>
        <v>223311.73</v>
      </c>
    </row>
    <row r="40" spans="2:15" x14ac:dyDescent="0.3">
      <c r="B40" s="3" t="s">
        <v>39</v>
      </c>
      <c r="C40" s="4">
        <v>2814.82</v>
      </c>
      <c r="D40" s="4">
        <v>9322.25</v>
      </c>
      <c r="E40" s="4">
        <v>7514.44</v>
      </c>
      <c r="F40" s="4">
        <v>4806.18</v>
      </c>
      <c r="G40" s="4">
        <v>4519.8</v>
      </c>
      <c r="H40" s="4">
        <v>2786.13</v>
      </c>
      <c r="I40" s="4">
        <v>3672.3599999999997</v>
      </c>
      <c r="J40" s="4">
        <v>1900</v>
      </c>
      <c r="K40" s="4">
        <v>2876.18</v>
      </c>
      <c r="L40" s="4">
        <v>7031.7</v>
      </c>
      <c r="M40" s="4"/>
      <c r="N40" s="4"/>
      <c r="O40" s="7">
        <f t="shared" si="5"/>
        <v>47243.859999999993</v>
      </c>
    </row>
    <row r="41" spans="2:15" x14ac:dyDescent="0.3">
      <c r="B41" s="3" t="s">
        <v>40</v>
      </c>
      <c r="C41" s="4">
        <v>117685.51000000001</v>
      </c>
      <c r="D41" s="4">
        <v>57926.02</v>
      </c>
      <c r="E41" s="4">
        <v>92366.6</v>
      </c>
      <c r="F41" s="4">
        <v>92878.06</v>
      </c>
      <c r="G41" s="4">
        <v>35726.25</v>
      </c>
      <c r="H41" s="4">
        <v>24647.55</v>
      </c>
      <c r="I41" s="4">
        <v>142843</v>
      </c>
      <c r="J41" s="4">
        <v>146759.51999999999</v>
      </c>
      <c r="K41" s="4">
        <v>13688.869999999999</v>
      </c>
      <c r="L41" s="4">
        <v>26563.64</v>
      </c>
      <c r="M41" s="4"/>
      <c r="N41" s="4"/>
      <c r="O41" s="7">
        <f t="shared" si="5"/>
        <v>751085.02</v>
      </c>
    </row>
    <row r="42" spans="2:15" x14ac:dyDescent="0.3">
      <c r="B42" s="3" t="s">
        <v>41</v>
      </c>
      <c r="C42" s="4">
        <v>8902</v>
      </c>
      <c r="D42" s="4">
        <v>11580</v>
      </c>
      <c r="E42" s="4">
        <v>24081</v>
      </c>
      <c r="F42" s="4">
        <v>15536</v>
      </c>
      <c r="G42" s="4">
        <v>7870</v>
      </c>
      <c r="H42" s="4">
        <v>28936</v>
      </c>
      <c r="I42" s="4">
        <v>21644</v>
      </c>
      <c r="J42" s="4">
        <v>22411</v>
      </c>
      <c r="K42" s="4">
        <v>23443</v>
      </c>
      <c r="L42" s="4">
        <v>18196</v>
      </c>
      <c r="M42" s="4"/>
      <c r="N42" s="4"/>
      <c r="O42" s="7">
        <f t="shared" si="5"/>
        <v>182599</v>
      </c>
    </row>
    <row r="43" spans="2:15" x14ac:dyDescent="0.3">
      <c r="B43" s="3" t="s">
        <v>42</v>
      </c>
      <c r="C43" s="4">
        <v>23850</v>
      </c>
      <c r="D43" s="4">
        <v>14707.619999999999</v>
      </c>
      <c r="E43" s="4">
        <v>16125</v>
      </c>
      <c r="F43" s="4">
        <v>23731.52</v>
      </c>
      <c r="G43" s="4">
        <v>7300</v>
      </c>
      <c r="H43" s="4">
        <v>69387.59</v>
      </c>
      <c r="I43" s="4">
        <v>44143.407800000001</v>
      </c>
      <c r="J43" s="4">
        <v>263997.33</v>
      </c>
      <c r="K43" s="4">
        <v>56594.950000000004</v>
      </c>
      <c r="L43" s="4">
        <v>6000</v>
      </c>
      <c r="M43" s="4"/>
      <c r="N43" s="4"/>
      <c r="O43" s="7">
        <f t="shared" si="5"/>
        <v>525837.41779999994</v>
      </c>
    </row>
    <row r="44" spans="2:15" x14ac:dyDescent="0.3">
      <c r="B44" s="3" t="s">
        <v>43</v>
      </c>
      <c r="C44" s="4">
        <v>28550</v>
      </c>
      <c r="D44" s="4">
        <v>10150</v>
      </c>
      <c r="E44" s="4">
        <v>45510</v>
      </c>
      <c r="F44" s="4">
        <v>39540</v>
      </c>
      <c r="G44" s="4">
        <v>21895</v>
      </c>
      <c r="H44" s="4">
        <v>35639</v>
      </c>
      <c r="I44" s="4">
        <v>2857</v>
      </c>
      <c r="J44" s="4">
        <v>29111</v>
      </c>
      <c r="K44" s="4">
        <v>28485</v>
      </c>
      <c r="L44" s="4">
        <v>41809</v>
      </c>
      <c r="M44" s="4"/>
      <c r="N44" s="4"/>
      <c r="O44" s="7">
        <f t="shared" si="5"/>
        <v>283546</v>
      </c>
    </row>
    <row r="45" spans="2:15" x14ac:dyDescent="0.3">
      <c r="B45" s="3" t="s">
        <v>44</v>
      </c>
      <c r="C45" s="4">
        <v>197572.03</v>
      </c>
      <c r="D45" s="4">
        <v>399621.33</v>
      </c>
      <c r="E45" s="4">
        <v>163772.62</v>
      </c>
      <c r="F45" s="4">
        <v>180036.09</v>
      </c>
      <c r="G45" s="4">
        <v>271580.88</v>
      </c>
      <c r="H45" s="4">
        <v>121242.33000000002</v>
      </c>
      <c r="I45" s="4">
        <v>209377.95000000004</v>
      </c>
      <c r="J45" s="4">
        <v>355948.02</v>
      </c>
      <c r="K45" s="4">
        <v>234181.06999999998</v>
      </c>
      <c r="L45" s="4">
        <v>315634.25</v>
      </c>
      <c r="M45" s="4"/>
      <c r="N45" s="4"/>
      <c r="O45" s="7">
        <f t="shared" si="5"/>
        <v>2448966.5699999998</v>
      </c>
    </row>
    <row r="46" spans="2:15" x14ac:dyDescent="0.3">
      <c r="B46" s="3" t="s">
        <v>45</v>
      </c>
      <c r="C46" s="4">
        <v>4040</v>
      </c>
      <c r="D46" s="4">
        <v>5568</v>
      </c>
      <c r="E46" s="4">
        <v>1306.75</v>
      </c>
      <c r="F46" s="4">
        <v>1551.06</v>
      </c>
      <c r="G46" s="4">
        <v>501.42</v>
      </c>
      <c r="H46" s="4">
        <v>1477.27</v>
      </c>
      <c r="I46" s="4">
        <v>65243.9</v>
      </c>
      <c r="J46" s="4">
        <v>69213.42</v>
      </c>
      <c r="K46" s="4">
        <v>1737.29</v>
      </c>
      <c r="L46" s="4">
        <v>2587.4499999999998</v>
      </c>
      <c r="M46" s="4"/>
      <c r="N46" s="4"/>
      <c r="O46" s="7">
        <f t="shared" si="5"/>
        <v>153226.56000000003</v>
      </c>
    </row>
    <row r="47" spans="2:15" ht="14.4" thickBot="1" x14ac:dyDescent="0.35">
      <c r="B47" s="5" t="s">
        <v>49</v>
      </c>
      <c r="C47" s="6">
        <f t="shared" ref="C47:O47" si="6">SUM(C19:C46)</f>
        <v>7402158.9023179729</v>
      </c>
      <c r="D47" s="6">
        <f t="shared" si="6"/>
        <v>7388541.0864277007</v>
      </c>
      <c r="E47" s="6">
        <f t="shared" si="6"/>
        <v>8382671.2751949951</v>
      </c>
      <c r="F47" s="6">
        <f t="shared" si="6"/>
        <v>9653675.8409399949</v>
      </c>
      <c r="G47" s="6">
        <f t="shared" si="6"/>
        <v>8406373.4552422557</v>
      </c>
      <c r="H47" s="6">
        <f t="shared" si="6"/>
        <v>8838164.1450341865</v>
      </c>
      <c r="I47" s="6">
        <f t="shared" si="6"/>
        <v>10389667.551133331</v>
      </c>
      <c r="J47" s="6">
        <f t="shared" si="6"/>
        <v>10948674.325300008</v>
      </c>
      <c r="K47" s="6">
        <f t="shared" si="6"/>
        <v>10065925.709980028</v>
      </c>
      <c r="L47" s="6">
        <f t="shared" si="6"/>
        <v>8192870.3444897961</v>
      </c>
      <c r="M47" s="6">
        <f t="shared" si="6"/>
        <v>0</v>
      </c>
      <c r="N47" s="6">
        <f t="shared" si="6"/>
        <v>0</v>
      </c>
      <c r="O47" s="6">
        <f t="shared" si="6"/>
        <v>89668722.636060253</v>
      </c>
    </row>
    <row r="48" spans="2:15" x14ac:dyDescent="0.3">
      <c r="B48" s="13" t="s">
        <v>48</v>
      </c>
      <c r="C48" s="7">
        <f>C16+C47</f>
        <v>27454419.442317978</v>
      </c>
      <c r="D48" s="7">
        <f>D16+D47</f>
        <v>29760274.116427694</v>
      </c>
      <c r="E48" s="7">
        <f>E16+E47</f>
        <v>34514974.740619078</v>
      </c>
      <c r="F48" s="7">
        <f>F16+F47</f>
        <v>40119306.49093999</v>
      </c>
      <c r="G48" s="7">
        <f>G16+G47</f>
        <v>33073272.757264256</v>
      </c>
      <c r="H48" s="7">
        <f>H16+H47</f>
        <v>37725184.677934192</v>
      </c>
      <c r="I48" s="7">
        <f>I16+I47</f>
        <v>51615023.911133334</v>
      </c>
      <c r="J48" s="7">
        <f>J16+J47</f>
        <v>48815070.924151383</v>
      </c>
      <c r="K48" s="7">
        <f>K16+K47</f>
        <v>56582017.444047816</v>
      </c>
      <c r="L48" s="7">
        <f>L16+L47</f>
        <v>52118493.004489809</v>
      </c>
      <c r="M48" s="7">
        <f>M16+M47</f>
        <v>0</v>
      </c>
      <c r="N48" s="7">
        <f>N16+N47</f>
        <v>0</v>
      </c>
      <c r="O48" s="7">
        <f>O16+O47</f>
        <v>411778037.50932556</v>
      </c>
    </row>
    <row r="49" spans="2:15" x14ac:dyDescent="0.3">
      <c r="B49" s="10" t="s">
        <v>46</v>
      </c>
      <c r="C49" s="11">
        <f>C10-C48</f>
        <v>2503109.420138754</v>
      </c>
      <c r="D49" s="11">
        <f>D10-D48</f>
        <v>3126407.7040553316</v>
      </c>
      <c r="E49" s="11">
        <f>E10-E48</f>
        <v>6994578.85049133</v>
      </c>
      <c r="F49" s="11">
        <f>F10-F48</f>
        <v>5224658.3216219246</v>
      </c>
      <c r="G49" s="11">
        <f>G10-G48</f>
        <v>6208088.1596090198</v>
      </c>
      <c r="H49" s="11">
        <f>H10-H48</f>
        <v>2741390.2080824748</v>
      </c>
      <c r="I49" s="11">
        <f>I10-I48</f>
        <v>3559596.3991208151</v>
      </c>
      <c r="J49" s="11">
        <f>J10-J48</f>
        <v>4585392.2265661433</v>
      </c>
      <c r="K49" s="11">
        <f>K10-K48</f>
        <v>8551459.923585698</v>
      </c>
      <c r="L49" s="11">
        <f>L10-L48</f>
        <v>5713239.4331398159</v>
      </c>
      <c r="M49" s="11">
        <f>M10-M48</f>
        <v>0</v>
      </c>
      <c r="N49" s="11">
        <f>N10-N48</f>
        <v>0</v>
      </c>
      <c r="O49" s="11">
        <f>O10-O48</f>
        <v>49207920.646411359</v>
      </c>
    </row>
    <row r="50" spans="2:15" x14ac:dyDescent="0.3">
      <c r="B50" s="10" t="s">
        <v>47</v>
      </c>
      <c r="C50" s="12">
        <f>C49/C10</f>
        <v>8.355527025046755E-2</v>
      </c>
      <c r="D50" s="12">
        <f>D49/D10</f>
        <v>9.5066073285268046E-2</v>
      </c>
      <c r="E50" s="12">
        <f>E49/E10</f>
        <v>0.16850527758962153</v>
      </c>
      <c r="F50" s="12">
        <f>F49/F10</f>
        <v>0.11522279410764066</v>
      </c>
      <c r="G50" s="12">
        <f>G49/G10</f>
        <v>0.158041575309636</v>
      </c>
      <c r="H50" s="12">
        <f>H49/H10</f>
        <v>6.7744557472536909E-2</v>
      </c>
      <c r="I50" s="12">
        <f>I49/I10</f>
        <v>6.4515104573529214E-2</v>
      </c>
      <c r="J50" s="12">
        <f>J49/J10</f>
        <v>8.5868023534259E-2</v>
      </c>
      <c r="K50" s="12">
        <f>K49/K10</f>
        <v>0.13129131545239955</v>
      </c>
      <c r="L50" s="12">
        <f>L49/L10</f>
        <v>9.8790736371272142E-2</v>
      </c>
      <c r="M50" s="12" t="e">
        <f>M49/M10</f>
        <v>#DIV/0!</v>
      </c>
      <c r="N50" s="12" t="e">
        <f>N49/N10</f>
        <v>#DIV/0!</v>
      </c>
      <c r="O50" s="12">
        <f>O49/O10</f>
        <v>0.10674494477722732</v>
      </c>
    </row>
    <row r="51" spans="2:15" x14ac:dyDescent="0.3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spans="2:15" x14ac:dyDescent="0.3">
      <c r="B52" s="14" t="s">
        <v>51</v>
      </c>
      <c r="C52" s="4"/>
      <c r="D52" s="4"/>
      <c r="E52" s="4"/>
      <c r="F52" s="4">
        <v>1260000</v>
      </c>
      <c r="G52" s="4"/>
      <c r="H52" s="4"/>
      <c r="I52" s="4">
        <v>945000</v>
      </c>
      <c r="J52" s="4"/>
      <c r="K52" s="4"/>
      <c r="L52" s="4">
        <v>945000</v>
      </c>
      <c r="M52" s="4"/>
      <c r="N52" s="4"/>
      <c r="O52" s="4"/>
    </row>
    <row r="53" spans="2:15" x14ac:dyDescent="0.3">
      <c r="B53" s="14" t="s">
        <v>52</v>
      </c>
      <c r="C53" s="4">
        <v>356964</v>
      </c>
      <c r="D53" s="4">
        <v>317731</v>
      </c>
      <c r="E53" s="4">
        <v>311821.34999999998</v>
      </c>
      <c r="F53" s="4">
        <v>1621496.58</v>
      </c>
      <c r="G53" s="4">
        <v>394196.95</v>
      </c>
      <c r="H53" s="4">
        <v>480061.98</v>
      </c>
      <c r="I53" s="4">
        <v>1523013.13</v>
      </c>
      <c r="J53" s="4">
        <v>544311.38</v>
      </c>
      <c r="K53" s="4">
        <v>481255.9</v>
      </c>
      <c r="L53" s="4">
        <v>1428851.17</v>
      </c>
      <c r="M53" s="4"/>
      <c r="N53" s="4"/>
      <c r="O53" s="4"/>
    </row>
    <row r="54" spans="2:15" x14ac:dyDescent="0.3">
      <c r="B54" s="14" t="s">
        <v>32</v>
      </c>
      <c r="C54" s="4">
        <f>C53-C52</f>
        <v>356964</v>
      </c>
      <c r="D54" s="4">
        <f t="shared" ref="D54:L54" si="7">D53-D52</f>
        <v>317731</v>
      </c>
      <c r="E54" s="4">
        <f t="shared" si="7"/>
        <v>311821.34999999998</v>
      </c>
      <c r="F54" s="4">
        <f t="shared" si="7"/>
        <v>361496.58000000007</v>
      </c>
      <c r="G54" s="4">
        <f t="shared" si="7"/>
        <v>394196.95</v>
      </c>
      <c r="H54" s="4">
        <f t="shared" si="7"/>
        <v>480061.98</v>
      </c>
      <c r="I54" s="4">
        <f t="shared" si="7"/>
        <v>578013.12999999989</v>
      </c>
      <c r="J54" s="4">
        <f t="shared" si="7"/>
        <v>544311.38</v>
      </c>
      <c r="K54" s="4">
        <f t="shared" si="7"/>
        <v>481255.9</v>
      </c>
      <c r="L54" s="4">
        <f t="shared" si="7"/>
        <v>483851.16999999993</v>
      </c>
      <c r="M54" s="4"/>
      <c r="N54" s="4"/>
      <c r="O54" s="4"/>
    </row>
    <row r="55" spans="2:15" x14ac:dyDescent="0.3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spans="2:15" x14ac:dyDescent="0.3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2:15" x14ac:dyDescent="0.3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2:15" x14ac:dyDescent="0.3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2:15" x14ac:dyDescent="0.3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2:15" x14ac:dyDescent="0.3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2:15" x14ac:dyDescent="0.3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spans="2:15" x14ac:dyDescent="0.3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spans="2:15" x14ac:dyDescent="0.3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spans="2:15" x14ac:dyDescent="0.3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3:15" x14ac:dyDescent="0.3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spans="3:15" x14ac:dyDescent="0.3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spans="3:15" x14ac:dyDescent="0.3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 P&amp;L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A</dc:creator>
  <cp:lastModifiedBy>Kunal A</cp:lastModifiedBy>
  <dcterms:created xsi:type="dcterms:W3CDTF">2015-06-05T18:17:20Z</dcterms:created>
  <dcterms:modified xsi:type="dcterms:W3CDTF">2026-03-29T20:20:51Z</dcterms:modified>
</cp:coreProperties>
</file>